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араметры" sheetId="1" r:id="rId1"/>
    <sheet name="Строки" sheetId="2" r:id="rId2"/>
  </sheets>
  <definedNames>
    <definedName name="_xlnm.Print_Area" localSheetId="0">Параметры!$A$1:$C$32</definedName>
    <definedName name="_xlnm.Print_Area" localSheetId="1">Строки!$A$1:$I$4</definedName>
    <definedName name="_xlnm.Print_Titles" localSheetId="1">Строки!$1:$1</definedName>
  </definedNames>
  <calcPr calcId="124519" fullCalcOnLoad="1"/>
</workbook>
</file>

<file path=xl/sharedStrings.xml><?xml version="1.0" encoding="utf-8"?>
<sst xmlns="http://schemas.openxmlformats.org/spreadsheetml/2006/main" count="48" uniqueCount="43">
  <si>
    <t>Калькуляция заказа</t>
  </si>
  <si>
    <t>Учебная смета на таблички</t>
  </si>
  <si>
    <t>Синие числа и жёлтые ячейки можно менять. Изменения Excel не возвращаются в программу.</t>
  </si>
  <si>
    <t>Тираж</t>
  </si>
  <si>
    <t>Накладные</t>
  </si>
  <si>
    <t>Резерв</t>
  </si>
  <si>
    <t>Прибыль наценка или маржа</t>
  </si>
  <si>
    <t>Скидка</t>
  </si>
  <si>
    <t>НДС ставка</t>
  </si>
  <si>
    <t>Ценообразование</t>
  </si>
  <si>
    <t>markup</t>
  </si>
  <si>
    <t>Налоговый режим</t>
  </si>
  <si>
    <t>none</t>
  </si>
  <si>
    <t>markup — наценка; margin — маржа</t>
  </si>
  <si>
    <t>none — без начисления; add — начислить; unknown — не выбран</t>
  </si>
  <si>
    <t>Позиция</t>
  </si>
  <si>
    <t>Единица</t>
  </si>
  <si>
    <t>Количество</t>
  </si>
  <si>
    <t>Цена ₽</t>
  </si>
  <si>
    <t>Кратность</t>
  </si>
  <si>
    <t>Минимум ₽</t>
  </si>
  <si>
    <t>К оплате</t>
  </si>
  <si>
    <t>Сумма ₽</t>
  </si>
  <si>
    <t>Источник и дата</t>
  </si>
  <si>
    <t>ПВХ 3 мм</t>
  </si>
  <si>
    <t>лист</t>
  </si>
  <si>
    <t>Учебное допущение
2026-09-14</t>
  </si>
  <si>
    <t>Печать без материала</t>
  </si>
  <si>
    <t>м²</t>
  </si>
  <si>
    <t>Резка по контуру</t>
  </si>
  <si>
    <t>пог. м</t>
  </si>
  <si>
    <t>Прямые затраты</t>
  </si>
  <si>
    <t>Себестоимость</t>
  </si>
  <si>
    <t>Цена до скидки</t>
  </si>
  <si>
    <t>Цена до НДС</t>
  </si>
  <si>
    <t>Начисленный НДС</t>
  </si>
  <si>
    <t>Цена заказа</t>
  </si>
  <si>
    <t>Расчётная прибыль</t>
  </si>
  <si>
    <t>Цена за изделие</t>
  </si>
  <si>
    <t>Статус на момент выгрузки</t>
  </si>
  <si>
    <t>Предварительная смета</t>
  </si>
  <si>
    <t>После изменения чисел проверьте состав заказа, цены и налоги заново. Статус выгрузки не подтверждает новые данные.</t>
  </si>
  <si>
    <t>Пустая цена или неизвестный налог оставляет итог пустым. Известная часть прямых расходов показывается отдельно.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</si>
</sst>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#,##0.00"/>
  </numFmts>
  <fonts count="5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2"/>
  <sheetViews>
    <sheetView showGridLines="0" tabSelected="1" workbookViewId="0"/>
  </sheetViews>
  <sheetFormatPr defaultRowHeight="15"/>
  <cols>
    <col min="1" max="1" width="43.7109375" customWidth="1"/>
    <col min="2" max="2" width="24.7109375" customWidth="1"/>
    <col min="3" max="3" width="58.7109375" customWidth="1"/>
  </cols>
  <sheetData>
    <row r="1" spans="1:3" ht="28" customHeight="1">
      <c r="A1" s="1" t="s">
        <v>0</v>
      </c>
    </row>
    <row r="2" spans="1:3">
      <c r="A2" s="2" t="s">
        <v>1</v>
      </c>
    </row>
    <row r="3" spans="1:3" ht="42" customHeight="1">
      <c r="A3" s="2" t="s">
        <v>2</v>
      </c>
    </row>
    <row r="6" spans="1:3">
      <c r="A6" s="2" t="s">
        <v>3</v>
      </c>
      <c r="B6" s="3">
        <v>10</v>
      </c>
    </row>
    <row r="7" spans="1:3">
      <c r="A7" s="2" t="s">
        <v>4</v>
      </c>
      <c r="B7" s="4">
        <v>0.1</v>
      </c>
    </row>
    <row r="8" spans="1:3">
      <c r="A8" s="2" t="s">
        <v>5</v>
      </c>
      <c r="B8" s="4">
        <v>0.05</v>
      </c>
    </row>
    <row r="9" spans="1:3">
      <c r="A9" s="2" t="s">
        <v>6</v>
      </c>
      <c r="B9" s="4">
        <v>0.2</v>
      </c>
    </row>
    <row r="10" spans="1:3">
      <c r="A10" s="2" t="s">
        <v>7</v>
      </c>
      <c r="B10" s="4">
        <v>0.03</v>
      </c>
    </row>
    <row r="11" spans="1:3">
      <c r="A11" s="2" t="s">
        <v>8</v>
      </c>
      <c r="B11" s="4"/>
    </row>
    <row r="12" spans="1:3">
      <c r="A12" s="2" t="s">
        <v>9</v>
      </c>
      <c r="B12" s="3" t="s">
        <v>10</v>
      </c>
      <c r="C12" s="2" t="s">
        <v>13</v>
      </c>
    </row>
    <row r="13" spans="1:3">
      <c r="A13" s="2" t="s">
        <v>11</v>
      </c>
      <c r="B13" s="3" t="s">
        <v>12</v>
      </c>
      <c r="C13" s="2" t="s">
        <v>14</v>
      </c>
    </row>
    <row r="16" spans="1:3">
      <c r="A16" s="2" t="s">
        <v>31</v>
      </c>
      <c r="B16" s="5">
        <f>ROUND(SUM('Строки'!H2:H4),2)</f>
        <v>3000.0</v>
      </c>
    </row>
    <row r="17" spans="1:2">
      <c r="A17" s="2" t="s">
        <v>4</v>
      </c>
      <c r="B17" s="5">
        <f>IF(OR(3=0,NOT(ISNUMBER(B7)),COUNT('Строки'!H2:H4)&lt;&gt;3),"",ROUND(B16*B7,2))</f>
        <v>300.0</v>
      </c>
    </row>
    <row r="18" spans="1:2">
      <c r="A18" s="2" t="s">
        <v>5</v>
      </c>
      <c r="B18" s="5">
        <f>IF(OR(NOT(ISNUMBER(B17)),NOT(ISNUMBER(B8))),"",ROUND((B16+B17)*B8,2))</f>
        <v>165.0</v>
      </c>
    </row>
    <row r="19" spans="1:2">
      <c r="A19" s="2" t="s">
        <v>32</v>
      </c>
      <c r="B19" s="5">
        <f>IF(NOT(ISNUMBER(B18)),"",ROUND(SUM(B16:B18),2))</f>
        <v>3465.0</v>
      </c>
    </row>
    <row r="20" spans="1:2">
      <c r="A20" s="2" t="s">
        <v>33</v>
      </c>
      <c r="B20" s="5">
        <f>IF(OR(NOT(ISNUMBER(B19)),NOT(ISNUMBER(B9))),"",IF(B12="markup",ROUND(B19*(1+B9),2),IF(AND(B12="margin",B9&lt;1),ROUND(B19/(1-B9),2),"")))</f>
        <v>4158.0</v>
      </c>
    </row>
    <row r="21" spans="1:2">
      <c r="A21" s="2" t="s">
        <v>7</v>
      </c>
      <c r="B21" s="5">
        <f>IF(OR(NOT(ISNUMBER(B20)),NOT(ISNUMBER(B10))),"",ROUND(B20*B10,2))</f>
        <v>124.74</v>
      </c>
    </row>
    <row r="22" spans="1:2">
      <c r="A22" s="2" t="s">
        <v>34</v>
      </c>
      <c r="B22" s="5">
        <f>IF(NOT(ISNUMBER(B21)),"",ROUND(B20-B21,2))</f>
        <v>4033.26</v>
      </c>
    </row>
    <row r="23" spans="1:2">
      <c r="A23" s="2" t="s">
        <v>35</v>
      </c>
      <c r="B23" s="5">
        <f>IF(NOT(ISNUMBER(B22)),"",IF(B13="none",0,IF(AND(B13="add",ISNUMBER(B11)),ROUND(B22*B11,2),"")))</f>
        <v>0.0</v>
      </c>
    </row>
    <row r="24" spans="1:2">
      <c r="A24" s="6" t="s">
        <v>36</v>
      </c>
      <c r="B24" s="5">
        <f>IF(NOT(ISNUMBER(B23)),"",ROUND(B22+B23,2))</f>
        <v>4033.26</v>
      </c>
    </row>
    <row r="25" spans="1:2">
      <c r="A25" s="2" t="s">
        <v>37</v>
      </c>
      <c r="B25" s="5">
        <f>IF(NOT(ISNUMBER(B22)),"",ROUND(B22-B19,2))</f>
        <v>568.26</v>
      </c>
    </row>
    <row r="26" spans="1:2">
      <c r="A26" s="2" t="s">
        <v>38</v>
      </c>
      <c r="B26" s="5">
        <f>IF(OR(NOT(ISNUMBER(B24)),NOT(ISNUMBER(B6)),B6&lt;=0),"",ROUND(B24/B6,2))</f>
        <v>403.33</v>
      </c>
    </row>
    <row r="29" spans="1:2" ht="34" customHeight="1">
      <c r="A29" s="6" t="s">
        <v>39</v>
      </c>
      <c r="B29" s="2" t="s">
        <v>40</v>
      </c>
    </row>
    <row r="30" spans="1:2" ht="48" customHeight="1">
      <c r="A30" s="2" t="s">
        <v>41</v>
      </c>
    </row>
    <row r="32" spans="1:2" ht="48" customHeight="1">
      <c r="A32" s="2" t="s">
        <v>42</v>
      </c>
    </row>
  </sheetData>
  <dataValidations count="5">
    <dataValidation type="list" allowBlank="1" showInputMessage="1" showErrorMessage="1" sqref="B12">
      <formula1>"markup,margin"</formula1>
    </dataValidation>
    <dataValidation type="list" allowBlank="1" showInputMessage="1" showErrorMessage="1" sqref="B13">
      <formula1>"none,add,unknown"</formula1>
    </dataValidation>
    <dataValidation type="decimal" operator="greaterThan" allowBlank="1" showInputMessage="1" showErrorMessage="1" sqref="B6">
      <formula1>0</formula1>
    </dataValidation>
    <dataValidation type="decimal" allowBlank="1" showInputMessage="1" showErrorMessage="1" sqref="B7:B8">
      <formula1>0</formula1>
      <formula2>10</formula2>
    </dataValidation>
    <dataValidation type="decimal" allowBlank="1" showInputMessage="1" showErrorMessage="1" sqref="B10:B11">
      <formula1>0</formula1>
      <formula2>1</formula2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3.7109375" customWidth="1"/>
    <col min="2" max="2" width="12.7109375" customWidth="1"/>
    <col min="3" max="8" width="16.7109375" customWidth="1"/>
    <col min="9" max="9" width="48.7109375" customWidth="1"/>
  </cols>
  <sheetData>
    <row r="1" spans="1:9" ht="32" customHeight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spans="1:9" ht="42" customHeight="1">
      <c r="A2" s="2" t="s">
        <v>24</v>
      </c>
      <c r="B2" s="2" t="s">
        <v>25</v>
      </c>
      <c r="C2" s="3">
        <v>2</v>
      </c>
      <c r="D2" s="3">
        <v>1000</v>
      </c>
      <c r="E2" s="3"/>
      <c r="F2" s="3">
        <v>0</v>
      </c>
      <c r="G2" s="7">
        <f>IF(OR(NOT(ISNUMBER(C2)),C2&lt;=0),"",IF(ISBLANK(E2),C2,IF(AND(ISNUMBER(E2),E2&gt;0),CEILING(C2,E2),"")))</f>
        <v>2.0</v>
      </c>
      <c r="H2" s="5">
        <f>IF(OR(NOT(ISNUMBER(G2)),NOT(ISNUMBER(D2)),NOT(ISNUMBER(F2)),D2&lt;0,F2&lt;0),"",ROUND(MAX(G2*D2,F2),2))</f>
        <v>2000.0</v>
      </c>
      <c r="I2" s="2" t="s">
        <v>26</v>
      </c>
    </row>
    <row r="3" spans="1:9" ht="42" customHeight="1">
      <c r="A3" s="2" t="s">
        <v>27</v>
      </c>
      <c r="B3" s="2" t="s">
        <v>28</v>
      </c>
      <c r="C3" s="3">
        <v>0.6</v>
      </c>
      <c r="D3" s="3">
        <v>500</v>
      </c>
      <c r="E3" s="3"/>
      <c r="F3" s="3">
        <v>0</v>
      </c>
      <c r="G3" s="7">
        <f>IF(OR(NOT(ISNUMBER(C3)),C3&lt;=0),"",IF(ISBLANK(E3),C3,IF(AND(ISNUMBER(E3),E3&gt;0),CEILING(C3,E3),"")))</f>
        <v>0.6</v>
      </c>
      <c r="H3" s="5">
        <f>IF(OR(NOT(ISNUMBER(G3)),NOT(ISNUMBER(D3)),NOT(ISNUMBER(F3)),D3&lt;0,F3&lt;0),"",ROUND(MAX(G3*D3,F3),2))</f>
        <v>300.0</v>
      </c>
      <c r="I3" s="2" t="s">
        <v>26</v>
      </c>
    </row>
    <row r="4" spans="1:9" ht="42" customHeight="1">
      <c r="A4" s="2" t="s">
        <v>29</v>
      </c>
      <c r="B4" s="2" t="s">
        <v>30</v>
      </c>
      <c r="C4" s="3">
        <v>10</v>
      </c>
      <c r="D4" s="3">
        <v>70</v>
      </c>
      <c r="E4" s="3"/>
      <c r="F4" s="3">
        <v>0</v>
      </c>
      <c r="G4" s="7">
        <f>IF(OR(NOT(ISNUMBER(C4)),C4&lt;=0),"",IF(ISBLANK(E4),C4,IF(AND(ISNUMBER(E4),E4&gt;0),CEILING(C4,E4),"")))</f>
        <v>10.0</v>
      </c>
      <c r="H4" s="5">
        <f>IF(OR(NOT(ISNUMBER(G4)),NOT(ISNUMBER(D4)),NOT(ISNUMBER(F4)),D4&lt;0,F4&lt;0),"",ROUND(MAX(G4*D4,F4),2))</f>
        <v>700.0</v>
      </c>
      <c r="I4" s="2" t="s">
        <v>26</v>
      </c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Параметры</vt:lpstr>
      <vt:lpstr>Строки</vt:lpstr>
      <vt:lpstr>Параметры!Print_Area</vt:lpstr>
      <vt:lpstr>Строки!Print_Area</vt:lpstr>
      <vt:lpstr>Строки!Print_Titles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2026-09-14T18:35:03Z</dcterms:created>
  <dcterms:modified xsi:type="dcterms:W3CDTF">2026-09-14T18:35:03Z</dcterms:modified>
</cp:coreProperties>
</file>